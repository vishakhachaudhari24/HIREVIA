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'Candidate Rankings'!$A$1:$I$2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2E7D32"/>
      <sz val="10"/>
    </font>
    <font>
      <name val="Arial"/>
      <color rgb="001155CC"/>
      <sz val="10"/>
      <u val="single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/>
    </xf>
    <xf numFmtId="164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VishakhaChaudhari07/OneDrive/Documents/resume_screener/resumes/Resume Smart Analytica trainee engineer intern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0" customWidth="1" min="4" max="4"/>
    <col width="28" customWidth="1" min="5" max="5"/>
    <col width="36" customWidth="1" min="6" max="6"/>
    <col width="32" customWidth="1" min="7" max="7"/>
    <col width="54" customWidth="1" min="8" max="8"/>
    <col width="30" customWidth="1" min="9" max="9"/>
  </cols>
  <sheetData>
    <row r="1" ht="30" customHeight="1">
      <c r="A1" s="1" t="inlineStr">
        <is>
          <t>Rank</t>
        </is>
      </c>
      <c r="B1" s="1" t="inlineStr">
        <is>
          <t>Resume ID</t>
        </is>
      </c>
      <c r="C1" s="1" t="inlineStr">
        <is>
          <t>Candidate Name</t>
        </is>
      </c>
      <c r="D1" s="1" t="inlineStr">
        <is>
          <t>Final Match Score (%)</t>
        </is>
      </c>
      <c r="E1" s="1" t="inlineStr">
        <is>
          <t>Mandatory Criteria Met</t>
        </is>
      </c>
      <c r="F1" s="1" t="inlineStr">
        <is>
          <t>Key Skills Matched</t>
        </is>
      </c>
      <c r="G1" s="1" t="inlineStr">
        <is>
          <t>Missing / Weak Areas</t>
        </is>
      </c>
      <c r="H1" s="1" t="inlineStr">
        <is>
          <t>AI Summary</t>
        </is>
      </c>
      <c r="I1" s="1" t="inlineStr">
        <is>
          <t>Resume Link</t>
        </is>
      </c>
    </row>
    <row r="2" ht="72" customHeight="1">
      <c r="A2" s="2" t="inlineStr">
        <is>
          <t>Rank001</t>
        </is>
      </c>
      <c r="B2" s="3" t="inlineStr">
        <is>
          <t>R001</t>
        </is>
      </c>
      <c r="C2" s="3" t="inlineStr">
        <is>
          <t>Vishakha Chaudhari</t>
        </is>
      </c>
      <c r="D2" s="4" t="n">
        <v>70</v>
      </c>
      <c r="E2" s="5" t="inlineStr">
        <is>
          <t>Yes</t>
        </is>
      </c>
      <c r="F2" s="6" t="inlineStr">
        <is>
          <t>Python, Pandas, NumPy, SQL, Tableau, Power BI, Data visualization, Data cleaning and preprocessing</t>
        </is>
      </c>
      <c r="G2" s="6" t="inlineStr">
        <is>
          <t>Basic understanding of statistics, Machine Learning basics, ETL concepts, Cloud platforms (AWS, GCP, or Azure), Work experience in the UK</t>
        </is>
      </c>
      <c r="H2" s="6" t="inlineStr">
        <is>
          <t>The candidate is a strong fit for the Data Analyst role, with relevant skills in data analysis and BI tools. They have a solid academic background and project experience, but lack direct work experience in the UK and some specific skills like statistics and machine learning basics.</t>
        </is>
      </c>
      <c r="I2" s="7" t="inlineStr">
        <is>
          <t>📄 Open Resume</t>
        </is>
      </c>
    </row>
  </sheetData>
  <autoFilter ref="A1:I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s="8" t="inlineStr">
        <is>
          <t>AI Resume Screening — Run Summary</t>
        </is>
      </c>
    </row>
    <row r="3">
      <c r="A3" s="9" t="inlineStr">
        <is>
          <t>Total Candidates</t>
        </is>
      </c>
      <c r="B3" s="10" t="n">
        <v>1</v>
      </c>
    </row>
    <row r="4">
      <c r="A4" s="9" t="inlineStr">
        <is>
          <t>Criteria Met</t>
        </is>
      </c>
      <c r="B4" s="10" t="n">
        <v>1</v>
      </c>
    </row>
    <row r="5">
      <c r="A5" s="9" t="inlineStr">
        <is>
          <t>Criteria Not Met</t>
        </is>
      </c>
      <c r="B5" s="10" t="n">
        <v>0</v>
      </c>
    </row>
    <row r="6">
      <c r="A6" s="9" t="inlineStr">
        <is>
          <t>Avg Match Score (%)</t>
        </is>
      </c>
      <c r="B6" s="10">
        <f>AVERAGE('Candidate Rankings'!D2:D2)</f>
        <v/>
      </c>
    </row>
    <row r="7">
      <c r="A7" s="9" t="inlineStr">
        <is>
          <t>Top Score (%)</t>
        </is>
      </c>
      <c r="B7" s="10">
        <f>MAX('Candidate Rankings'!D2:D2)</f>
        <v/>
      </c>
    </row>
    <row r="8">
      <c r="A8" s="9" t="inlineStr">
        <is>
          <t>Low Score (%)</t>
        </is>
      </c>
      <c r="B8" s="10">
        <f>MIN('Candidate Rankings'!D2:D2)</f>
        <v/>
      </c>
    </row>
    <row r="9">
      <c r="A9" s="9" t="inlineStr">
        <is>
          <t>Top Candidate</t>
        </is>
      </c>
      <c r="B9" s="10" t="inlineStr">
        <is>
          <t>Vishakha Chaudhari</t>
        </is>
      </c>
    </row>
    <row r="10">
      <c r="A10" s="9" t="inlineStr">
        <is>
          <t>Score Threshold for Criteria Met</t>
        </is>
      </c>
      <c r="B10" s="10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2026-05-02T16:16:58Z</dcterms:created>
  <dcterms:modified xmlns:dcterms="http://purl.org/dc/terms/" xmlns:xsi="http://www.w3.org/2001/XMLSchema-instance" xsi:type="dcterms:W3CDTF">2026-05-02T16:16:58Z</dcterms:modified>
</cp:coreProperties>
</file>