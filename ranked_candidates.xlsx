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ffb6dabc673d826d/Documents/resume_screener/"/>
    </mc:Choice>
  </mc:AlternateContent>
  <xr:revisionPtr revIDLastSave="1" documentId="11_7DF7BC9B477B81759F06B2157FE8E7F4C1CEFAAA" xr6:coauthVersionLast="47" xr6:coauthVersionMax="47" xr10:uidLastSave="{017FE9D9-E51B-4490-A1C1-D828B8AC0AD4}"/>
  <bookViews>
    <workbookView minimized="1" xWindow="4248" yWindow="3360" windowWidth="17280" windowHeight="8880" xr2:uid="{00000000-000D-0000-FFFF-FFFF00000000}"/>
  </bookViews>
  <sheets>
    <sheet name="Candidate Rankings" sheetId="1" r:id="rId1"/>
    <sheet name="Summary" sheetId="2" r:id="rId2"/>
  </sheets>
  <definedNames>
    <definedName name="_xlnm._FilterDatabase" localSheetId="0" hidden="1">'Candidate Rankings'!$A$1:$I$5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8" i="2" l="1"/>
  <c r="B7" i="2"/>
  <c r="B6" i="2"/>
</calcChain>
</file>

<file path=xl/sharedStrings.xml><?xml version="1.0" encoding="utf-8"?>
<sst xmlns="http://schemas.openxmlformats.org/spreadsheetml/2006/main" count="52" uniqueCount="47">
  <si>
    <t>Rank</t>
  </si>
  <si>
    <t>Resume ID</t>
  </si>
  <si>
    <t>Candidate Name</t>
  </si>
  <si>
    <t>Final Match Score (%)</t>
  </si>
  <si>
    <t>Mandatory Criteria Met</t>
  </si>
  <si>
    <t>Key Skills Matched</t>
  </si>
  <si>
    <t>Missing / Weak Areas</t>
  </si>
  <si>
    <t>AI Summary</t>
  </si>
  <si>
    <t>Resume Link</t>
  </si>
  <si>
    <t>Rank001</t>
  </si>
  <si>
    <t>R003</t>
  </si>
  <si>
    <t>Vishakha Chaudhari</t>
  </si>
  <si>
    <t>Yes</t>
  </si>
  <si>
    <t>Python, SQL, Excel, Data visualization, Data cleaning and preprocessing, Tableau, Power BI</t>
  </si>
  <si>
    <t>Basic understanding of statistics, Machine Learning basics, ETL concepts, Cloud platforms</t>
  </si>
  <si>
    <t>The candidate has a strong foundation in data analysis and visualization, with experience in tools like Tableau and Power BI. They have worked on relevant projects, but may require additional training in statistics and machine learning. With guidance, they can grow into a skilled data analyst role.</t>
  </si>
  <si>
    <t>📄 Open Resume</t>
  </si>
  <si>
    <t>Rank002</t>
  </si>
  <si>
    <t>R001</t>
  </si>
  <si>
    <t>No — Skills not found: Excel, Data visualization, Data cleaning and preprocessing, Basic understanding of statistics</t>
  </si>
  <si>
    <t>Python, SQL, Basic understanding of statistics</t>
  </si>
  <si>
    <t>Data visualization, Data cleaning and preprocessing, Excel, Machine Learning basics, Cloud platforms</t>
  </si>
  <si>
    <t>The candidate is a recent computer science graduate with a strong foundation in programming and database management. While they lack direct experience in data analytics, their academic projects demonstrate some relevance to the field. The candidate has a solid educational background and a strong desire to learn and grow in their career.</t>
  </si>
  <si>
    <t>Rank003</t>
  </si>
  <si>
    <t>R002</t>
  </si>
  <si>
    <t>Vivek Behera</t>
  </si>
  <si>
    <t>Python, SQL, Pandas, NumPy, Data Structures &amp; Algorithms</t>
  </si>
  <si>
    <t>Data visualization, Excel, Data cleaning and preprocessing, Basic understanding of statistics, Experience with Power BI or Tableau dashboards</t>
  </si>
  <si>
    <t>The candidate has a strong technical foundation in AI/ML and programming languages, but lacks direct experience in data analytics. They have built relevant projects, but may require training in data visualization and Excel. With guidance, they can grow into a data analyst role.</t>
  </si>
  <si>
    <t>Rank004</t>
  </si>
  <si>
    <t>R004</t>
  </si>
  <si>
    <t>RIYA KAURASE</t>
  </si>
  <si>
    <t>No — Skills not found: SQL, Excel, Data visualization, Data cleaning and preprocessing, Basic understanding of statistics</t>
  </si>
  <si>
    <t>Python, Data analysis, Machine Learning basics, Database management</t>
  </si>
  <si>
    <t>SQL, Excel, Data visualization, Data cleaning and preprocessing, Statistics</t>
  </si>
  <si>
    <t>The candidate is a promising data science student with a strong foundation in programming and analytical skills. While lacking direct experience, their academic projects showcase potential in data analysis and problem-solving. However, they require development in key areas such as SQL, Excel, and data visualization to be a strong fit for the role.</t>
  </si>
  <si>
    <t>AI Resume Screening — Run Summary</t>
  </si>
  <si>
    <t>Total Candidates</t>
  </si>
  <si>
    <t>Criteria Met</t>
  </si>
  <si>
    <t>Criteria Not Met</t>
  </si>
  <si>
    <t>Avg Match Score (%)</t>
  </si>
  <si>
    <t>Top Score (%)</t>
  </si>
  <si>
    <t>Low Score (%)</t>
  </si>
  <si>
    <t>Top Candidate</t>
  </si>
  <si>
    <t>Score Threshold for Criteria Met</t>
  </si>
  <si>
    <t>70%</t>
  </si>
  <si>
    <t xml:space="preserve">Siddhi Deshpande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</si>
</sst>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quot;%&quot;"/>
  </numFmts>
  <fonts count="9" x14ac:knownFonts="1">
    <font>
      <sz val="11"/>
      <color theme="1"/>
      <name val="Calibri"/>
      <family val="2"/>
      <scheme val="minor"/>
    </font>
    <font>
      <b/>
      <sz val="11"/>
      <color rgb="FFFFFFFF"/>
      <name val="Arial"/>
    </font>
    <font>
      <b/>
      <sz val="10"/>
      <name val="Arial"/>
    </font>
    <font>
      <sz val="10"/>
      <name val="Arial"/>
    </font>
    <font>
      <b/>
      <sz val="11"/>
      <name val="Arial"/>
    </font>
    <font>
      <b/>
      <sz val="10"/>
      <color rgb="FF2E7D32"/>
      <name val="Arial"/>
    </font>
    <font>
      <u/>
      <sz val="10"/>
      <color rgb="FF1155CC"/>
      <name val="Arial"/>
    </font>
    <font>
      <b/>
      <sz val="10"/>
      <color rgb="FFC62828"/>
      <name val="Arial"/>
    </font>
    <font>
      <b/>
      <sz val="14"/>
      <name val="Arial"/>
    </font>
  </fonts>
  <fills count="7">
    <fill>
      <patternFill patternType="none"/>
    </fill>
    <fill>
      <patternFill patternType="gray125"/>
    </fill>
    <fill>
      <patternFill patternType="solid">
        <fgColor rgb="FF1F3864"/>
      </patternFill>
    </fill>
    <fill>
      <patternFill patternType="solid">
        <fgColor rgb="FFE8F5E9"/>
      </patternFill>
    </fill>
    <fill>
      <patternFill patternType="solid">
        <fgColor rgb="FFC8E6C9"/>
      </patternFill>
    </fill>
    <fill>
      <patternFill patternType="solid">
        <fgColor rgb="FFFFCDD2"/>
      </patternFill>
    </fill>
    <fill>
      <patternFill patternType="solid">
        <fgColor rgb="FFFFFFFF"/>
      </patternFill>
    </fill>
  </fills>
  <borders count="2">
    <border>
      <left/>
      <right/>
      <top/>
      <bottom/>
      <diagonal/>
    </border>
    <border>
      <left style="thin">
        <color rgb="FFD0D7E3"/>
      </left>
      <right style="thin">
        <color rgb="FFD0D7E3"/>
      </right>
      <top style="thin">
        <color rgb="FFD0D7E3"/>
      </top>
      <bottom style="thin">
        <color rgb="FFD0D7E3"/>
      </bottom>
      <diagonal/>
    </border>
  </borders>
  <cellStyleXfs count="1">
    <xf numFmtId="0" fontId="0" fillId="0" borderId="0"/>
  </cellStyleXfs>
  <cellXfs count="18">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horizontal="center" vertical="center"/>
    </xf>
    <xf numFmtId="0" fontId="3" fillId="3" borderId="1" xfId="0" applyFont="1" applyFill="1" applyBorder="1" applyAlignment="1">
      <alignment vertical="top"/>
    </xf>
    <xf numFmtId="164" fontId="4" fillId="4" borderId="1" xfId="0" applyNumberFormat="1" applyFont="1" applyFill="1" applyBorder="1" applyAlignment="1">
      <alignment horizontal="center" vertical="center"/>
    </xf>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6" fillId="3" borderId="1" xfId="0" applyFont="1" applyFill="1" applyBorder="1" applyAlignment="1">
      <alignment horizontal="center" vertical="center"/>
    </xf>
    <xf numFmtId="164" fontId="4" fillId="5" borderId="1" xfId="0" applyNumberFormat="1" applyFont="1" applyFill="1" applyBorder="1" applyAlignment="1">
      <alignment horizontal="center" vertical="center"/>
    </xf>
    <xf numFmtId="0" fontId="7" fillId="3" borderId="1" xfId="0" applyFont="1" applyFill="1" applyBorder="1" applyAlignment="1">
      <alignment vertical="top" wrapText="1"/>
    </xf>
    <xf numFmtId="0" fontId="2" fillId="6" borderId="1" xfId="0" applyFont="1" applyFill="1" applyBorder="1" applyAlignment="1">
      <alignment horizontal="center" vertical="center"/>
    </xf>
    <xf numFmtId="0" fontId="3" fillId="6" borderId="1" xfId="0" applyFont="1" applyFill="1" applyBorder="1" applyAlignment="1">
      <alignment vertical="top"/>
    </xf>
    <xf numFmtId="0" fontId="7" fillId="6" borderId="1" xfId="0" applyFont="1" applyFill="1" applyBorder="1" applyAlignment="1">
      <alignment vertical="top" wrapText="1"/>
    </xf>
    <xf numFmtId="0" fontId="3" fillId="6" borderId="1" xfId="0" applyFont="1" applyFill="1" applyBorder="1" applyAlignment="1">
      <alignment vertical="top" wrapText="1"/>
    </xf>
    <xf numFmtId="0" fontId="6" fillId="6" borderId="1" xfId="0" applyFont="1" applyFill="1" applyBorder="1" applyAlignment="1">
      <alignment horizontal="center" vertical="center"/>
    </xf>
    <xf numFmtId="0" fontId="8" fillId="0" borderId="0" xfId="0" applyFont="1"/>
    <xf numFmtId="0" fontId="2" fillId="0" borderId="0" xfId="0" applyFont="1"/>
    <xf numFmtId="0" fontId="3"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file:///C:\Users\VishakhaChaudhari07\OneDrive\Documents\resume_screener\resumes\Resume%20(1).pdf" TargetMode="External"/><Relationship Id="rId2" Type="http://schemas.openxmlformats.org/officeDocument/2006/relationships/hyperlink" Target="file:///C:\Users\VishakhaChaudhari07\OneDrive\Documents\resume_screener\resumes\DOC-20260206-WA0005..pdf_20260412_215900_0000.pdf" TargetMode="External"/><Relationship Id="rId1" Type="http://schemas.openxmlformats.org/officeDocument/2006/relationships/hyperlink" Target="file:///C:\Users\VishakhaChaudhari07\OneDrive\Documents\resume_screener\resumes\Resume%20Smart%20Analytica%20trainee%20engineer%20intern.pdf" TargetMode="External"/><Relationship Id="rId4" Type="http://schemas.openxmlformats.org/officeDocument/2006/relationships/hyperlink" Target="file:///C:\Users\VishakhaChaudhari07\OneDrive\Documents\resume_screener\resumes\Riya_Kaurase_Resume%20(3).doc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
  <sheetViews>
    <sheetView tabSelected="1" workbookViewId="0">
      <pane ySplit="1" topLeftCell="A3" activePane="bottomLeft" state="frozen"/>
      <selection pane="bottomLeft" activeCell="C3" sqref="C3"/>
    </sheetView>
  </sheetViews>
  <sheetFormatPr defaultRowHeight="14.4" x14ac:dyDescent="0.3"/>
  <cols>
    <col min="1" max="1" width="10" customWidth="1"/>
    <col min="2" max="2" width="12" customWidth="1"/>
    <col min="3" max="3" width="24" customWidth="1"/>
    <col min="4" max="4" width="20" customWidth="1"/>
    <col min="5" max="5" width="28" customWidth="1"/>
    <col min="6" max="6" width="36" customWidth="1"/>
    <col min="7" max="7" width="32" customWidth="1"/>
    <col min="8" max="8" width="54" customWidth="1"/>
    <col min="9" max="9" width="30" customWidth="1"/>
  </cols>
  <sheetData>
    <row r="1" spans="1:9" ht="30" customHeight="1" x14ac:dyDescent="0.3">
      <c r="A1" s="1" t="s">
        <v>0</v>
      </c>
      <c r="B1" s="1" t="s">
        <v>1</v>
      </c>
      <c r="C1" s="1" t="s">
        <v>2</v>
      </c>
      <c r="D1" s="1" t="s">
        <v>3</v>
      </c>
      <c r="E1" s="1" t="s">
        <v>4</v>
      </c>
      <c r="F1" s="1" t="s">
        <v>5</v>
      </c>
      <c r="G1" s="1" t="s">
        <v>6</v>
      </c>
      <c r="H1" s="1" t="s">
        <v>7</v>
      </c>
      <c r="I1" s="1" t="s">
        <v>8</v>
      </c>
    </row>
    <row r="2" spans="1:9" ht="72" customHeight="1" x14ac:dyDescent="0.3">
      <c r="A2" s="2" t="s">
        <v>9</v>
      </c>
      <c r="B2" s="3" t="s">
        <v>10</v>
      </c>
      <c r="C2" s="3" t="s">
        <v>11</v>
      </c>
      <c r="D2" s="4">
        <v>70</v>
      </c>
      <c r="E2" s="5" t="s">
        <v>12</v>
      </c>
      <c r="F2" s="6" t="s">
        <v>13</v>
      </c>
      <c r="G2" s="6" t="s">
        <v>14</v>
      </c>
      <c r="H2" s="6" t="s">
        <v>15</v>
      </c>
      <c r="I2" s="7" t="s">
        <v>16</v>
      </c>
    </row>
    <row r="3" spans="1:9" ht="72" customHeight="1" x14ac:dyDescent="0.3">
      <c r="A3" s="2" t="s">
        <v>17</v>
      </c>
      <c r="B3" s="3" t="s">
        <v>18</v>
      </c>
      <c r="C3" s="3" t="s">
        <v>46</v>
      </c>
      <c r="D3" s="8">
        <v>42</v>
      </c>
      <c r="E3" s="9" t="s">
        <v>19</v>
      </c>
      <c r="F3" s="6" t="s">
        <v>20</v>
      </c>
      <c r="G3" s="6" t="s">
        <v>21</v>
      </c>
      <c r="H3" s="6" t="s">
        <v>22</v>
      </c>
      <c r="I3" s="7" t="s">
        <v>16</v>
      </c>
    </row>
    <row r="4" spans="1:9" ht="72" customHeight="1" x14ac:dyDescent="0.3">
      <c r="A4" s="2" t="s">
        <v>23</v>
      </c>
      <c r="B4" s="3" t="s">
        <v>24</v>
      </c>
      <c r="C4" s="3" t="s">
        <v>25</v>
      </c>
      <c r="D4" s="8">
        <v>42</v>
      </c>
      <c r="E4" s="9" t="s">
        <v>19</v>
      </c>
      <c r="F4" s="6" t="s">
        <v>26</v>
      </c>
      <c r="G4" s="6" t="s">
        <v>27</v>
      </c>
      <c r="H4" s="6" t="s">
        <v>28</v>
      </c>
      <c r="I4" s="7" t="s">
        <v>16</v>
      </c>
    </row>
    <row r="5" spans="1:9" ht="72" customHeight="1" x14ac:dyDescent="0.3">
      <c r="A5" s="10" t="s">
        <v>29</v>
      </c>
      <c r="B5" s="11" t="s">
        <v>30</v>
      </c>
      <c r="C5" s="11" t="s">
        <v>31</v>
      </c>
      <c r="D5" s="8">
        <v>42</v>
      </c>
      <c r="E5" s="12" t="s">
        <v>32</v>
      </c>
      <c r="F5" s="13" t="s">
        <v>33</v>
      </c>
      <c r="G5" s="13" t="s">
        <v>34</v>
      </c>
      <c r="H5" s="13" t="s">
        <v>35</v>
      </c>
      <c r="I5" s="14" t="s">
        <v>16</v>
      </c>
    </row>
  </sheetData>
  <autoFilter ref="A1:I5" xr:uid="{00000000-0009-0000-0000-000000000000}"/>
  <hyperlinks>
    <hyperlink ref="I2" r:id="rId1" xr:uid="{00000000-0004-0000-0000-000000000000}"/>
    <hyperlink ref="I3" r:id="rId2" xr:uid="{00000000-0004-0000-0000-000001000000}"/>
    <hyperlink ref="I4" r:id="rId3" xr:uid="{00000000-0004-0000-0000-000002000000}"/>
    <hyperlink ref="I5" r:id="rId4" xr:uid="{00000000-0004-0000-0000-000003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
  <sheetViews>
    <sheetView workbookViewId="0"/>
  </sheetViews>
  <sheetFormatPr defaultRowHeight="14.4" x14ac:dyDescent="0.3"/>
  <cols>
    <col min="1" max="1" width="35" customWidth="1"/>
    <col min="2" max="2" width="28" customWidth="1"/>
  </cols>
  <sheetData>
    <row r="1" spans="1:2" ht="17.399999999999999" x14ac:dyDescent="0.3">
      <c r="A1" s="15" t="s">
        <v>36</v>
      </c>
    </row>
    <row r="3" spans="1:2" x14ac:dyDescent="0.3">
      <c r="A3" s="16" t="s">
        <v>37</v>
      </c>
      <c r="B3" s="17">
        <v>4</v>
      </c>
    </row>
    <row r="4" spans="1:2" x14ac:dyDescent="0.3">
      <c r="A4" s="16" t="s">
        <v>38</v>
      </c>
      <c r="B4" s="17">
        <v>1</v>
      </c>
    </row>
    <row r="5" spans="1:2" x14ac:dyDescent="0.3">
      <c r="A5" s="16" t="s">
        <v>39</v>
      </c>
      <c r="B5" s="17">
        <v>3</v>
      </c>
    </row>
    <row r="6" spans="1:2" x14ac:dyDescent="0.3">
      <c r="A6" s="16" t="s">
        <v>40</v>
      </c>
      <c r="B6" s="17">
        <f>AVERAGE('Candidate Rankings'!D2:D5)</f>
        <v>49</v>
      </c>
    </row>
    <row r="7" spans="1:2" x14ac:dyDescent="0.3">
      <c r="A7" s="16" t="s">
        <v>41</v>
      </c>
      <c r="B7" s="17">
        <f>MAX('Candidate Rankings'!D2:D5)</f>
        <v>70</v>
      </c>
    </row>
    <row r="8" spans="1:2" x14ac:dyDescent="0.3">
      <c r="A8" s="16" t="s">
        <v>42</v>
      </c>
      <c r="B8" s="17">
        <f>MIN('Candidate Rankings'!D2:D5)</f>
        <v>42</v>
      </c>
    </row>
    <row r="9" spans="1:2" x14ac:dyDescent="0.3">
      <c r="A9" s="16" t="s">
        <v>43</v>
      </c>
      <c r="B9" s="17" t="s">
        <v>11</v>
      </c>
    </row>
    <row r="10" spans="1:2" x14ac:dyDescent="0.3">
      <c r="A10" s="16" t="s">
        <v>44</v>
      </c>
      <c r="B10" s="17" t="s">
        <v>45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Candidate Rankings</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VISHAKHA CHAUDHARI</cp:lastModifiedBy>
  <dcterms:created xsi:type="dcterms:W3CDTF">2026-05-02T11:11:28Z</dcterms:created>
  <dcterms:modified xsi:type="dcterms:W3CDTF">2026-05-02T14:16:16Z</dcterms:modified>
</cp:coreProperties>
</file>